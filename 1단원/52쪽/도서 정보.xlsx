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MASS\1_교과서 개발\0_데이터 과학\0_교수지원자료\단원별 자료\수업자료\교과서 소스코드\1단원\1-2 데이터 저장과 활용\52쪽\"/>
    </mc:Choice>
  </mc:AlternateContent>
  <xr:revisionPtr revIDLastSave="0" documentId="13_ncr:1_{88ABEB61-2B3B-43FC-963B-980FC7564D1E}" xr6:coauthVersionLast="47" xr6:coauthVersionMax="47" xr10:uidLastSave="{00000000-0000-0000-0000-000000000000}"/>
  <bookViews>
    <workbookView xWindow="10305" yWindow="4950" windowWidth="26085" windowHeight="7650" activeTab="2" xr2:uid="{2FDAD048-6DAA-4678-9232-15CE297A031A}"/>
  </bookViews>
  <sheets>
    <sheet name="도서 대출 정보" sheetId="1" r:id="rId1"/>
    <sheet name="학생" sheetId="2" r:id="rId2"/>
    <sheet name="데이터 통합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/>
  <c r="G4" i="3"/>
  <c r="G3" i="3"/>
  <c r="G2" i="3"/>
  <c r="F5" i="3"/>
  <c r="F4" i="3"/>
  <c r="F3" i="3"/>
  <c r="E5" i="3"/>
  <c r="E4" i="3"/>
  <c r="E3" i="3"/>
  <c r="E2" i="3"/>
  <c r="F2" i="3"/>
</calcChain>
</file>

<file path=xl/sharedStrings.xml><?xml version="1.0" encoding="utf-8"?>
<sst xmlns="http://schemas.openxmlformats.org/spreadsheetml/2006/main" count="45" uniqueCount="23">
  <si>
    <t>학생ID</t>
    <phoneticPr fontId="1" type="noConversion"/>
  </si>
  <si>
    <t>도서명</t>
    <phoneticPr fontId="1" type="noConversion"/>
  </si>
  <si>
    <t>대출일</t>
    <phoneticPr fontId="1" type="noConversion"/>
  </si>
  <si>
    <t>반납일</t>
    <phoneticPr fontId="1" type="noConversion"/>
  </si>
  <si>
    <t>S001</t>
    <phoneticPr fontId="1" type="noConversion"/>
  </si>
  <si>
    <t>S002</t>
    <phoneticPr fontId="1" type="noConversion"/>
  </si>
  <si>
    <t>데미안</t>
    <phoneticPr fontId="1" type="noConversion"/>
  </si>
  <si>
    <t>이방인</t>
    <phoneticPr fontId="1" type="noConversion"/>
  </si>
  <si>
    <t>김소영</t>
    <phoneticPr fontId="1" type="noConversion"/>
  </si>
  <si>
    <t>이영준</t>
    <phoneticPr fontId="1" type="noConversion"/>
  </si>
  <si>
    <t>학년</t>
    <phoneticPr fontId="1" type="noConversion"/>
  </si>
  <si>
    <t>반</t>
    <phoneticPr fontId="1" type="noConversion"/>
  </si>
  <si>
    <t>S003</t>
    <phoneticPr fontId="1" type="noConversion"/>
  </si>
  <si>
    <t>박민수</t>
    <phoneticPr fontId="1" type="noConversion"/>
  </si>
  <si>
    <t>진달래꽃</t>
    <phoneticPr fontId="1" type="noConversion"/>
  </si>
  <si>
    <t>이름</t>
    <phoneticPr fontId="1" type="noConversion"/>
  </si>
  <si>
    <t>2024-05-10</t>
    <phoneticPr fontId="1" type="noConversion"/>
  </si>
  <si>
    <t>2024-05-12</t>
    <phoneticPr fontId="1" type="noConversion"/>
  </si>
  <si>
    <t>2024-05-13</t>
    <phoneticPr fontId="1" type="noConversion"/>
  </si>
  <si>
    <t>2024-05-15</t>
    <phoneticPr fontId="1" type="noConversion"/>
  </si>
  <si>
    <t>2024-05-16</t>
    <phoneticPr fontId="1" type="noConversion"/>
  </si>
  <si>
    <t>2024-05-19</t>
    <phoneticPr fontId="1" type="noConversion"/>
  </si>
  <si>
    <t>2024-05-20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</si>
</sst>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0BF9-6AA5-4773-89F6-33B9D00280D3}">
  <dimension ref="A1:D5"/>
  <sheetViews>
    <sheetView workbookViewId="0">
      <selection activeCell="A6" sqref="A6"/>
    </sheetView>
  </sheetViews>
  <sheetFormatPr defaultRowHeight="16.5" x14ac:dyDescent="0.3"/>
  <cols>
    <col min="1" max="4" width="16.87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2" t="s">
        <v>4</v>
      </c>
      <c r="B2" s="2" t="s">
        <v>6</v>
      </c>
      <c r="C2" s="3">
        <v>45422</v>
      </c>
      <c r="D2" s="3">
        <v>45427</v>
      </c>
    </row>
    <row r="3" spans="1:4" x14ac:dyDescent="0.3">
      <c r="A3" s="2" t="s">
        <v>5</v>
      </c>
      <c r="B3" s="2" t="s">
        <v>7</v>
      </c>
      <c r="C3" s="3">
        <v>45424</v>
      </c>
      <c r="D3" s="3">
        <v>45428</v>
      </c>
    </row>
    <row r="4" spans="1:4" x14ac:dyDescent="0.3">
      <c r="A4" s="2" t="s">
        <v>12</v>
      </c>
      <c r="B4" s="2" t="s">
        <v>14</v>
      </c>
      <c r="C4" s="3">
        <v>45425</v>
      </c>
      <c r="D4" s="3">
        <v>45431</v>
      </c>
    </row>
    <row r="5" spans="1:4" x14ac:dyDescent="0.3">
      <c r="A5" s="2" t="s">
        <v>12</v>
      </c>
      <c r="B5" s="2" t="s">
        <v>7</v>
      </c>
      <c r="C5" s="3">
        <v>45427</v>
      </c>
      <c r="D5" s="3">
        <v>45432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89BE-33C2-429F-AEAF-58EC0D486393}">
  <dimension ref="A1:D4"/>
  <sheetViews>
    <sheetView workbookViewId="0">
      <selection activeCell="D7" sqref="D7"/>
    </sheetView>
  </sheetViews>
  <sheetFormatPr defaultRowHeight="16.5" x14ac:dyDescent="0.3"/>
  <cols>
    <col min="3" max="4" width="11.125" bestFit="1" customWidth="1"/>
  </cols>
  <sheetData>
    <row r="1" spans="1:4" x14ac:dyDescent="0.3">
      <c r="A1" s="2" t="s">
        <v>0</v>
      </c>
      <c r="B1" s="2" t="s">
        <v>15</v>
      </c>
      <c r="C1" s="2" t="s">
        <v>10</v>
      </c>
      <c r="D1" s="2" t="s">
        <v>11</v>
      </c>
    </row>
    <row r="2" spans="1:4" x14ac:dyDescent="0.3">
      <c r="A2" s="2" t="s">
        <v>4</v>
      </c>
      <c r="B2" s="2" t="s">
        <v>8</v>
      </c>
      <c r="C2" s="9">
        <v>1</v>
      </c>
      <c r="D2" s="9">
        <v>3</v>
      </c>
    </row>
    <row r="3" spans="1:4" x14ac:dyDescent="0.3">
      <c r="A3" s="2" t="s">
        <v>5</v>
      </c>
      <c r="B3" s="2" t="s">
        <v>9</v>
      </c>
      <c r="C3" s="9">
        <v>2</v>
      </c>
      <c r="D3" s="9">
        <v>1</v>
      </c>
    </row>
    <row r="4" spans="1:4" x14ac:dyDescent="0.3">
      <c r="A4" s="2" t="s">
        <v>12</v>
      </c>
      <c r="B4" s="2" t="s">
        <v>13</v>
      </c>
      <c r="C4" s="9">
        <v>3</v>
      </c>
      <c r="D4" s="9">
        <v>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E833-A7B4-4874-A55D-B461C6667329}">
  <dimension ref="A1:G16"/>
  <sheetViews>
    <sheetView tabSelected="1" workbookViewId="0">
      <selection activeCell="J6" sqref="J6"/>
    </sheetView>
  </sheetViews>
  <sheetFormatPr defaultRowHeight="16.5" x14ac:dyDescent="0.3"/>
  <cols>
    <col min="1" max="1" width="9.5" customWidth="1"/>
    <col min="2" max="2" width="10.25" customWidth="1"/>
    <col min="3" max="3" width="10.875" customWidth="1"/>
    <col min="4" max="4" width="15.5" customWidth="1"/>
    <col min="5" max="5" width="9.375" customWidth="1"/>
    <col min="6" max="6" width="7.875" customWidth="1"/>
    <col min="7" max="7" width="8.875" style="1" customWidth="1"/>
    <col min="8" max="8" width="4.125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15</v>
      </c>
      <c r="F1" s="6" t="s">
        <v>10</v>
      </c>
      <c r="G1" s="7" t="s">
        <v>11</v>
      </c>
    </row>
    <row r="2" spans="1:7" x14ac:dyDescent="0.3">
      <c r="A2" s="4" t="s">
        <v>4</v>
      </c>
      <c r="B2" s="6" t="s">
        <v>6</v>
      </c>
      <c r="C2" s="8" t="s">
        <v>16</v>
      </c>
      <c r="D2" s="8" t="s">
        <v>19</v>
      </c>
      <c r="E2" s="6" t="str">
        <f>VLOOKUP(A2, 학생!$A$2:$D$4, 2, FALSE)</f>
        <v>김소영</v>
      </c>
      <c r="F2" s="7">
        <f>VLOOKUP(A2, 학생!$A$2:$D$4, 3, FALSE)</f>
        <v>1</v>
      </c>
      <c r="G2" s="7">
        <f>VLOOKUP(A2, 학생!$A$2:$D$4, 4, FALSE)</f>
        <v>3</v>
      </c>
    </row>
    <row r="3" spans="1:7" x14ac:dyDescent="0.3">
      <c r="A3" s="4" t="s">
        <v>5</v>
      </c>
      <c r="B3" s="6" t="s">
        <v>7</v>
      </c>
      <c r="C3" s="8" t="s">
        <v>17</v>
      </c>
      <c r="D3" s="8" t="s">
        <v>20</v>
      </c>
      <c r="E3" s="6" t="str">
        <f>VLOOKUP(A3, 학생!$A$2:$D$4, 2, FALSE)</f>
        <v>이영준</v>
      </c>
      <c r="F3" s="7">
        <f>VLOOKUP(A3, 학생!$A$2:$D$4, 3, FALSE)</f>
        <v>2</v>
      </c>
      <c r="G3" s="7">
        <f>VLOOKUP(A3, 학생!$A$2:$D$4, 4, FALSE)</f>
        <v>1</v>
      </c>
    </row>
    <row r="4" spans="1:7" x14ac:dyDescent="0.3">
      <c r="A4" s="4" t="s">
        <v>12</v>
      </c>
      <c r="B4" s="6" t="s">
        <v>14</v>
      </c>
      <c r="C4" s="8" t="s">
        <v>18</v>
      </c>
      <c r="D4" s="8" t="s">
        <v>21</v>
      </c>
      <c r="E4" s="6" t="str">
        <f>VLOOKUP(A4, 학생!$A$2:$D$4, 2, FALSE)</f>
        <v>박민수</v>
      </c>
      <c r="F4" s="7">
        <f>VLOOKUP(A4, 학생!$A$2:$D$4, 3, FALSE)</f>
        <v>3</v>
      </c>
      <c r="G4" s="7">
        <f>VLOOKUP(A4, 학생!$A$2:$D$4, 4, FALSE)</f>
        <v>2</v>
      </c>
    </row>
    <row r="5" spans="1:7" x14ac:dyDescent="0.3">
      <c r="A5" s="4" t="s">
        <v>12</v>
      </c>
      <c r="B5" s="6" t="s">
        <v>7</v>
      </c>
      <c r="C5" s="8" t="s">
        <v>19</v>
      </c>
      <c r="D5" s="8" t="s">
        <v>22</v>
      </c>
      <c r="E5" s="6" t="str">
        <f>VLOOKUP(A5, 학생!$A$2:$D$4, 2, FALSE)</f>
        <v>박민수</v>
      </c>
      <c r="F5" s="7">
        <f>VLOOKUP(A5, 학생!$A$2:$D$4, 3, FALSE)</f>
        <v>3</v>
      </c>
      <c r="G5" s="7">
        <f>VLOOKUP(A5, 학생!$A$2:$D$4, 4, FALSE)</f>
        <v>2</v>
      </c>
    </row>
    <row r="16" spans="1:7" x14ac:dyDescent="0.3">
      <c r="F16" s="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도서 대출 정보</vt:lpstr>
      <vt:lpstr>학생</vt:lpstr>
      <vt:lpstr>데이터 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2025-08-13T01:33:40Z</dcterms:created>
  <dcterms:modified xsi:type="dcterms:W3CDTF">2025-12-28T00:48:25Z</dcterms:modified>
</cp:coreProperties>
</file>